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  <sheet name="Payroll" sheetId="2" state="visible" r:id="rId4"/>
    <sheet name="Dashboard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<sst xmlns="http://schemas.openxmlformats.org/spreadsheetml/2006/main" count="363" uniqueCount="108">
  <si>
    <t xml:space="preserve">EMPLOYEE ATTENDANCE REGISTER</t>
  </si>
  <si>
    <t xml:space="preserve">Month:</t>
  </si>
  <si>
    <t xml:space="preserve">June</t>
  </si>
  <si>
    <t xml:space="preserve">Year:</t>
  </si>
  <si>
    <t xml:space="preserve">2026</t>
  </si>
  <si>
    <t xml:space="preserve">Employee name</t>
  </si>
  <si>
    <t xml:space="preserve">Department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</si>
  <si>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</si>
  <si>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</si>
  <si>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</si>
  <si>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</si>
  <si>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</si>
  <si>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</si>
  <si>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</si>
  <si>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</si>
  <si>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</si>
  <si>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</si>
  <si>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</si>
  <si>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</si>
  <si>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</si>
  <si>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</si>
  <si>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</si>
  <si>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</si>
  <si>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</si>
  <si>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</si>
  <si>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</si>
  <si>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</si>
  <si>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</si>
  <si>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</si>
  <si>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</si>
  <si>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</si>
  <si>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</si>
  <si>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</si>
  <si>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</si>
  <si>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</si>
  <si>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</si>
  <si>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</si>
  <si>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</si>
  <si>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Present</t>
  </si>
  <si>
    <t xml:space="preserve">Absent</t>
  </si>
  <si>
    <t xml:space="preserve">Leave</t>
  </si>
  <si>
    <t xml:space="preserve">WFH</t>
  </si>
  <si>
    <t xml:space="preserve">Working days</t>
  </si>
  <si>
    <t xml:space="preserve">Absent %</t>
  </si>
  <si>
    <t xml:space="preserve">Ahmed Khan</t>
  </si>
  <si>
    <t xml:space="preserve">Sales</t>
  </si>
  <si>
    <t xml:space="preserve">P</t>
  </si>
  <si>
    <t xml:space="preserve">H</t>
  </si>
  <si>
    <t xml:space="preserve">Sara Malik</t>
  </si>
  <si>
    <t xml:space="preserve">Marketing</t>
  </si>
  <si>
    <t xml:space="preserve">L</t>
  </si>
  <si>
    <t xml:space="preserve">Bilal Qureshi</t>
  </si>
  <si>
    <t xml:space="preserve">Operations</t>
  </si>
  <si>
    <t xml:space="preserve">A</t>
  </si>
  <si>
    <t xml:space="preserve">Fatima Noor</t>
  </si>
  <si>
    <t xml:space="preserve">Finance</t>
  </si>
  <si>
    <t xml:space="preserve">Usman Tariq</t>
  </si>
  <si>
    <t xml:space="preserve">Ayesha Siddiqui</t>
  </si>
  <si>
    <t xml:space="preserve">HR</t>
  </si>
  <si>
    <t xml:space="preserve">Zain Ahmed</t>
  </si>
  <si>
    <t xml:space="preserve">IT</t>
  </si>
  <si>
    <t xml:space="preserve">Maria Hassan</t>
  </si>
  <si>
    <t xml:space="preserve">Hamza Ali</t>
  </si>
  <si>
    <t xml:space="preserve">Nadia Shah</t>
  </si>
  <si>
    <t xml:space="preserve">MONTHLY TOTALS</t>
  </si>
  <si>
    <t xml:space="preserve">  STATUS CODES:  P = Present   A = Absent   L = Leave   WFH = Work From Home   H = Holiday   (blank) = not scheduled</t>
  </si>
  <si>
    <t xml:space="preserve">MONTHLY PAYROLL CALCULATOR</t>
  </si>
  <si>
    <t xml:space="preserve">Working days this month:</t>
  </si>
  <si>
    <t xml:space="preserve">EOBI deduction (PKR):</t>
  </si>
  <si>
    <t xml:space="preserve">Basic salary (PKR)</t>
  </si>
  <si>
    <t xml:space="preserve">Days present</t>
  </si>
  <si>
    <t xml:space="preserve">Days absent</t>
  </si>
  <si>
    <t xml:space="preserve">Days on leave</t>
  </si>
  <si>
    <t xml:space="preserve">Earned salary</t>
  </si>
  <si>
    <t xml:space="preserve">Deductions</t>
  </si>
  <si>
    <t xml:space="preserve">EOBI</t>
  </si>
  <si>
    <t xml:space="preserve">Net payable (PKR)</t>
  </si>
  <si>
    <t xml:space="preserve">Status</t>
  </si>
  <si>
    <t xml:space="preserve">PAYROLL TOTALS</t>
  </si>
  <si>
    <t xml:space="preserve">PAYROLL &amp; ATTENDANCE DASHBOARD</t>
  </si>
  <si>
    <t xml:space="preserve">Summary auto-updates from Attendance and Payroll sheets.</t>
  </si>
  <si>
    <t xml:space="preserve">Total employees</t>
  </si>
  <si>
    <t xml:space="preserve">Net payroll this month</t>
  </si>
  <si>
    <t xml:space="preserve">Attendance rate</t>
  </si>
  <si>
    <t xml:space="preserve">Employee</t>
  </si>
  <si>
    <t xml:space="preserve">Net pay (PKR)</t>
  </si>
  <si>
    <t xml:space="preserve">HOW TO USE THIS TRACKER</t>
  </si>
  <si>
    <t xml:space="preserve">SHEET 1 — Attendance Register</t>
  </si>
  <si>
    <t xml:space="preserve">Every day, go to the Attendance sheet and enter the status code for each employee.</t>
  </si>
  <si>
    <t xml:space="preserve">P = Present   |   A = Absent   |   L = Leave   |   WFH = Work From Home   |   H = Holiday</t>
  </si>
  <si>
    <t xml:space="preserve">Leave blank for days the employee is not scheduled (weekends etc.).</t>
  </si>
  <si>
    <t xml:space="preserve">The summary columns (Present, Absent, Leave, WFH, Working Days) calculate automatically.</t>
  </si>
  <si>
    <t xml:space="preserve">SHEET 2 — Payroll Calculator</t>
  </si>
  <si>
    <t xml:space="preserve">Update cell E2 with the number of working days in the current month (usually 22–26).</t>
  </si>
  <si>
    <t xml:space="preserve">Update cell H2 with the EOBI deduction amount per employee (default: PKR 250).</t>
  </si>
  <si>
    <t xml:space="preserve">Basic salary (column D, BLUE) is the only value you type per employee.</t>
  </si>
  <si>
    <t xml:space="preserve">Earned salary, deductions, and net payable all calculate from attendance automatically.</t>
  </si>
  <si>
    <t xml:space="preserve">The STATUS column shows "Review" for employees with more than 2 absences.</t>
  </si>
  <si>
    <t xml:space="preserve">SHEET 3 — Dashboard</t>
  </si>
  <si>
    <t xml:space="preserve">Provides a one-page overview: total headcount, net payroll, attendance rate, per-employee summary.</t>
  </si>
  <si>
    <t xml:space="preserve">Take a screenshot of this sheet to share with management or post as a portfolio sample.</t>
  </si>
  <si>
    <t xml:space="preserve">ADDING NEW EMPLOYEES</t>
  </si>
  <si>
    <t xml:space="preserve">Attendance sheet: Insert a row inside the employee list. Enter name, department, and daily statuses.</t>
  </si>
  <si>
    <t xml:space="preserve">Payroll sheet: Insert a matching row. Enter the basic salary. Link attendance columns to the new row.</t>
  </si>
  <si>
    <t xml:space="preserve">Dashboard: Extend the per-employee table to include the new row.</t>
  </si>
  <si>
    <t xml:space="preserve">MONTHLY RESET</t>
  </si>
  <si>
    <t xml:space="preserve">At the start of each month: clear all status cells (D4:AH13) in the Attendance sheet.</t>
  </si>
  <si>
    <t xml:space="preserve">Update the Month/Year cells in row 2. All formulas recalculate automatically.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</si>
</sst>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0.0\%"/>
    <numFmt numFmtId="168" formatCode="#,##0"/>
    <numFmt numFmtId="169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8"/>
      <color rgb="FF1E7145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185FA5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856404"/>
      <name val="Arial"/>
      <family val="0"/>
      <charset val="1"/>
    </font>
    <font>
      <sz val="10"/>
      <color rgb="FF185FA5"/>
      <name val="Arial"/>
      <family val="0"/>
      <charset val="1"/>
    </font>
    <font>
      <sz val="8"/>
      <color rgb="FF856404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6F1FB"/>
      </patternFill>
    </fill>
    <fill>
      <patternFill patternType="solid">
        <fgColor rgb="FFFFFFFF"/>
        <bgColor rgb="FFF9F9F9"/>
      </patternFill>
    </fill>
    <fill>
      <patternFill patternType="solid">
        <fgColor rgb="FFF2F7FB"/>
        <bgColor rgb="FFF9F9F9"/>
      </patternFill>
    </fill>
    <fill>
      <patternFill patternType="solid">
        <fgColor rgb="FFEAF3DE"/>
        <bgColor rgb="FFF1EFE8"/>
      </patternFill>
    </fill>
    <fill>
      <patternFill patternType="solid">
        <fgColor rgb="FFF1EFE8"/>
        <bgColor rgb="FFEAF3DE"/>
      </patternFill>
    </fill>
    <fill>
      <patternFill patternType="solid">
        <fgColor rgb="FFE6F1FB"/>
        <bgColor rgb="FFF2F7FB"/>
      </patternFill>
    </fill>
    <fill>
      <patternFill patternType="solid">
        <fgColor rgb="FFFFEEBA"/>
        <bgColor rgb="FFFDE8E8"/>
      </patternFill>
    </fill>
    <fill>
      <patternFill patternType="solid">
        <fgColor rgb="FFFDE8E8"/>
        <bgColor rgb="FFF1EFE8"/>
      </patternFill>
    </fill>
    <fill>
      <patternFill patternType="solid">
        <fgColor rgb="FF2E75B6"/>
        <bgColor rgb="FF185FA5"/>
      </patternFill>
    </fill>
    <fill>
      <patternFill patternType="solid">
        <fgColor rgb="FFF9F9F9"/>
        <bgColor rgb="FFF2F7FB"/>
      </patternFill>
    </fill>
    <fill>
      <patternFill patternType="solid">
        <fgColor rgb="FF1E7145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1E7145"/>
      <rgbColor rgb="FFBFBFBF"/>
      <rgbColor rgb="FF808080"/>
      <rgbColor rgb="FF9999FF"/>
      <rgbColor rgb="FF993366"/>
      <rgbColor rgb="FFFFEEBA"/>
      <rgbColor rgb="FFE6F1FB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AF3DE"/>
      <rgbColor rgb="FFF1EFE8"/>
      <rgbColor rgb="FFF9F9F9"/>
      <rgbColor rgb="FFFF99CC"/>
      <rgbColor rgb="FFCC99FF"/>
      <rgbColor rgb="FFFDE8E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35" min="4" style="0" width="4.5"/>
    <col collapsed="false" customWidth="true" hidden="false" outlineLevel="0" max="41" min="36" style="0" width="8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8" hidden="false" customHeight="true" outlineLevel="0" collapsed="false">
      <c r="B2" s="2" t="s">
        <v>1</v>
      </c>
      <c r="C2" s="2"/>
      <c r="D2" s="3" t="s">
        <v>2</v>
      </c>
      <c r="E2" s="2" t="s">
        <v>3</v>
      </c>
      <c r="F2" s="2"/>
      <c r="G2" s="3" t="s">
        <v>4</v>
      </c>
    </row>
    <row r="3" customFormat="false" ht="21.75" hidden="false" customHeight="true" outlineLevel="0" collapsed="false">
      <c r="B3" s="4" t="s">
        <v>5</v>
      </c>
      <c r="C3" s="4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  <c r="X3" s="5" t="s">
        <v>27</v>
      </c>
      <c r="Y3" s="5" t="s">
        <v>28</v>
      </c>
      <c r="Z3" s="5" t="s">
        <v>29</v>
      </c>
      <c r="AA3" s="5" t="s">
        <v>30</v>
      </c>
      <c r="AB3" s="5" t="s">
        <v>31</v>
      </c>
      <c r="AC3" s="5" t="s">
        <v>32</v>
      </c>
      <c r="AD3" s="5" t="s">
        <v>33</v>
      </c>
      <c r="AE3" s="5" t="s">
        <v>34</v>
      </c>
      <c r="AF3" s="5" t="s">
        <v>35</v>
      </c>
      <c r="AG3" s="5" t="s">
        <v>36</v>
      </c>
      <c r="AH3" s="5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</row>
    <row r="4" customFormat="false" ht="18" hidden="false" customHeight="true" outlineLevel="0" collapsed="false">
      <c r="B4" s="7" t="s">
        <v>44</v>
      </c>
      <c r="C4" s="8" t="s">
        <v>45</v>
      </c>
      <c r="D4" s="9" t="s">
        <v>46</v>
      </c>
      <c r="E4" s="9" t="s">
        <v>46</v>
      </c>
      <c r="F4" s="9" t="s">
        <v>46</v>
      </c>
      <c r="G4" s="9" t="s">
        <v>46</v>
      </c>
      <c r="H4" s="9" t="s">
        <v>46</v>
      </c>
      <c r="I4" s="10" t="s">
        <v>47</v>
      </c>
      <c r="J4" s="10" t="s">
        <v>47</v>
      </c>
      <c r="K4" s="9" t="s">
        <v>46</v>
      </c>
      <c r="L4" s="11" t="s">
        <v>41</v>
      </c>
      <c r="M4" s="9" t="s">
        <v>46</v>
      </c>
      <c r="N4" s="9" t="s">
        <v>46</v>
      </c>
      <c r="O4" s="9" t="s">
        <v>46</v>
      </c>
      <c r="P4" s="10" t="s">
        <v>47</v>
      </c>
      <c r="Q4" s="10" t="s">
        <v>47</v>
      </c>
      <c r="R4" s="9" t="s">
        <v>46</v>
      </c>
      <c r="S4" s="9" t="s">
        <v>46</v>
      </c>
      <c r="T4" s="9" t="s">
        <v>46</v>
      </c>
      <c r="U4" s="9" t="s">
        <v>46</v>
      </c>
      <c r="V4" s="9" t="s">
        <v>46</v>
      </c>
      <c r="W4" s="10" t="s">
        <v>47</v>
      </c>
      <c r="X4" s="10" t="s">
        <v>47</v>
      </c>
      <c r="Y4" s="9" t="s">
        <v>46</v>
      </c>
      <c r="Z4" s="12"/>
      <c r="AA4" s="12"/>
      <c r="AB4" s="12"/>
      <c r="AC4" s="12"/>
      <c r="AD4" s="12"/>
      <c r="AE4" s="12"/>
      <c r="AF4" s="12"/>
      <c r="AG4" s="12"/>
      <c r="AH4" s="12"/>
      <c r="AI4" s="13" t="n">
        <f aca="false">COUNTIF(D4:AH4,"P")</f>
        <v>15</v>
      </c>
      <c r="AJ4" s="14" t="n">
        <f aca="false">COUNTIF(D4:AH4,"A")</f>
        <v>0</v>
      </c>
      <c r="AK4" s="15" t="n">
        <f aca="false">COUNTIF(D4:AH4,"L")</f>
        <v>0</v>
      </c>
      <c r="AL4" s="16" t="n">
        <f aca="false">COUNTIF(D4:AH4,"WFH")</f>
        <v>1</v>
      </c>
      <c r="AM4" s="17" t="n">
        <f aca="false">AI4+AK4+AL4</f>
        <v>16</v>
      </c>
      <c r="AN4" s="18" t="n">
        <f aca="false">IFERROR(AJ4/AO4*100,0)</f>
        <v>0</v>
      </c>
    </row>
    <row r="5" customFormat="false" ht="18" hidden="false" customHeight="true" outlineLevel="0" collapsed="false">
      <c r="B5" s="19" t="s">
        <v>48</v>
      </c>
      <c r="C5" s="20" t="s">
        <v>49</v>
      </c>
      <c r="D5" s="9" t="s">
        <v>46</v>
      </c>
      <c r="E5" s="9" t="s">
        <v>46</v>
      </c>
      <c r="F5" s="9" t="s">
        <v>46</v>
      </c>
      <c r="G5" s="9" t="s">
        <v>46</v>
      </c>
      <c r="H5" s="9" t="s">
        <v>46</v>
      </c>
      <c r="I5" s="10" t="s">
        <v>47</v>
      </c>
      <c r="J5" s="10" t="s">
        <v>47</v>
      </c>
      <c r="K5" s="9" t="s">
        <v>46</v>
      </c>
      <c r="L5" s="9" t="s">
        <v>46</v>
      </c>
      <c r="M5" s="9" t="s">
        <v>46</v>
      </c>
      <c r="N5" s="21" t="s">
        <v>50</v>
      </c>
      <c r="O5" s="9" t="s">
        <v>46</v>
      </c>
      <c r="P5" s="10" t="s">
        <v>47</v>
      </c>
      <c r="Q5" s="10" t="s">
        <v>47</v>
      </c>
      <c r="R5" s="9" t="s">
        <v>46</v>
      </c>
      <c r="S5" s="9" t="s">
        <v>46</v>
      </c>
      <c r="T5" s="9" t="s">
        <v>46</v>
      </c>
      <c r="U5" s="9" t="s">
        <v>46</v>
      </c>
      <c r="V5" s="9" t="s">
        <v>46</v>
      </c>
      <c r="W5" s="10" t="s">
        <v>47</v>
      </c>
      <c r="X5" s="10" t="s">
        <v>47</v>
      </c>
      <c r="Y5" s="9" t="s">
        <v>46</v>
      </c>
      <c r="Z5" s="22"/>
      <c r="AA5" s="22"/>
      <c r="AB5" s="22"/>
      <c r="AC5" s="22"/>
      <c r="AD5" s="22"/>
      <c r="AE5" s="22"/>
      <c r="AF5" s="22"/>
      <c r="AG5" s="22"/>
      <c r="AH5" s="22"/>
      <c r="AI5" s="23" t="n">
        <f aca="false">COUNTIF(D5:AH5,"P")</f>
        <v>15</v>
      </c>
      <c r="AJ5" s="24" t="n">
        <f aca="false">COUNTIF(D5:AH5,"A")</f>
        <v>0</v>
      </c>
      <c r="AK5" s="25" t="n">
        <f aca="false">COUNTIF(D5:AH5,"L")</f>
        <v>1</v>
      </c>
      <c r="AL5" s="26" t="n">
        <f aca="false">COUNTIF(D5:AH5,"WFH")</f>
        <v>0</v>
      </c>
      <c r="AM5" s="27" t="n">
        <f aca="false">AI5+AK5+AL5</f>
        <v>16</v>
      </c>
      <c r="AN5" s="28" t="n">
        <f aca="false">IFERROR(AJ5/AO5*100,0)</f>
        <v>0</v>
      </c>
    </row>
    <row r="6" customFormat="false" ht="18" hidden="false" customHeight="true" outlineLevel="0" collapsed="false">
      <c r="B6" s="7" t="s">
        <v>51</v>
      </c>
      <c r="C6" s="8" t="s">
        <v>52</v>
      </c>
      <c r="D6" s="9" t="s">
        <v>46</v>
      </c>
      <c r="E6" s="29" t="s">
        <v>53</v>
      </c>
      <c r="F6" s="9" t="s">
        <v>46</v>
      </c>
      <c r="G6" s="9" t="s">
        <v>46</v>
      </c>
      <c r="H6" s="9" t="s">
        <v>46</v>
      </c>
      <c r="I6" s="10" t="s">
        <v>47</v>
      </c>
      <c r="J6" s="10" t="s">
        <v>47</v>
      </c>
      <c r="K6" s="9" t="s">
        <v>46</v>
      </c>
      <c r="L6" s="11" t="s">
        <v>41</v>
      </c>
      <c r="M6" s="9" t="s">
        <v>46</v>
      </c>
      <c r="N6" s="9" t="s">
        <v>46</v>
      </c>
      <c r="O6" s="9" t="s">
        <v>46</v>
      </c>
      <c r="P6" s="10" t="s">
        <v>47</v>
      </c>
      <c r="Q6" s="10" t="s">
        <v>47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10" t="s">
        <v>47</v>
      </c>
      <c r="X6" s="10" t="s">
        <v>47</v>
      </c>
      <c r="Y6" s="9" t="s">
        <v>46</v>
      </c>
      <c r="Z6" s="12"/>
      <c r="AA6" s="12"/>
      <c r="AB6" s="12"/>
      <c r="AC6" s="12"/>
      <c r="AD6" s="12"/>
      <c r="AE6" s="12"/>
      <c r="AF6" s="12"/>
      <c r="AG6" s="12"/>
      <c r="AH6" s="12"/>
      <c r="AI6" s="13" t="n">
        <f aca="false">COUNTIF(D6:AH6,"P")</f>
        <v>14</v>
      </c>
      <c r="AJ6" s="14" t="n">
        <f aca="false">COUNTIF(D6:AH6,"A")</f>
        <v>1</v>
      </c>
      <c r="AK6" s="15" t="n">
        <f aca="false">COUNTIF(D6:AH6,"L")</f>
        <v>0</v>
      </c>
      <c r="AL6" s="16" t="n">
        <f aca="false">COUNTIF(D6:AH6,"WFH")</f>
        <v>1</v>
      </c>
      <c r="AM6" s="17" t="n">
        <f aca="false">AI6+AK6+AL6</f>
        <v>15</v>
      </c>
      <c r="AN6" s="18" t="n">
        <f aca="false">IFERROR(AJ6/AO6*100,0)</f>
        <v>0</v>
      </c>
    </row>
    <row r="7" customFormat="false" ht="18" hidden="false" customHeight="true" outlineLevel="0" collapsed="false">
      <c r="B7" s="19" t="s">
        <v>54</v>
      </c>
      <c r="C7" s="20" t="s">
        <v>55</v>
      </c>
      <c r="D7" s="9" t="s">
        <v>46</v>
      </c>
      <c r="E7" s="9" t="s">
        <v>46</v>
      </c>
      <c r="F7" s="9" t="s">
        <v>46</v>
      </c>
      <c r="G7" s="9" t="s">
        <v>46</v>
      </c>
      <c r="H7" s="9" t="s">
        <v>46</v>
      </c>
      <c r="I7" s="10" t="s">
        <v>47</v>
      </c>
      <c r="J7" s="10" t="s">
        <v>47</v>
      </c>
      <c r="K7" s="21" t="s">
        <v>50</v>
      </c>
      <c r="L7" s="9" t="s">
        <v>46</v>
      </c>
      <c r="M7" s="9" t="s">
        <v>46</v>
      </c>
      <c r="N7" s="9" t="s">
        <v>46</v>
      </c>
      <c r="O7" s="9" t="s">
        <v>46</v>
      </c>
      <c r="P7" s="10" t="s">
        <v>47</v>
      </c>
      <c r="Q7" s="10" t="s">
        <v>47</v>
      </c>
      <c r="R7" s="9" t="s">
        <v>46</v>
      </c>
      <c r="S7" s="9" t="s">
        <v>46</v>
      </c>
      <c r="T7" s="29" t="s">
        <v>53</v>
      </c>
      <c r="U7" s="9" t="s">
        <v>46</v>
      </c>
      <c r="V7" s="9" t="s">
        <v>46</v>
      </c>
      <c r="W7" s="10" t="s">
        <v>47</v>
      </c>
      <c r="X7" s="10" t="s">
        <v>47</v>
      </c>
      <c r="Y7" s="9" t="s">
        <v>46</v>
      </c>
      <c r="Z7" s="22"/>
      <c r="AA7" s="22"/>
      <c r="AB7" s="22"/>
      <c r="AC7" s="22"/>
      <c r="AD7" s="22"/>
      <c r="AE7" s="22"/>
      <c r="AF7" s="22"/>
      <c r="AG7" s="22"/>
      <c r="AH7" s="22"/>
      <c r="AI7" s="23" t="n">
        <f aca="false">COUNTIF(D7:AH7,"P")</f>
        <v>14</v>
      </c>
      <c r="AJ7" s="24" t="n">
        <f aca="false">COUNTIF(D7:AH7,"A")</f>
        <v>1</v>
      </c>
      <c r="AK7" s="25" t="n">
        <f aca="false">COUNTIF(D7:AH7,"L")</f>
        <v>1</v>
      </c>
      <c r="AL7" s="26" t="n">
        <f aca="false">COUNTIF(D7:AH7,"WFH")</f>
        <v>0</v>
      </c>
      <c r="AM7" s="27" t="n">
        <f aca="false">AI7+AK7+AL7</f>
        <v>15</v>
      </c>
      <c r="AN7" s="28" t="n">
        <f aca="false">IFERROR(AJ7/AO7*100,0)</f>
        <v>0</v>
      </c>
    </row>
    <row r="8" customFormat="false" ht="18" hidden="false" customHeight="true" outlineLevel="0" collapsed="false">
      <c r="B8" s="7" t="s">
        <v>56</v>
      </c>
      <c r="C8" s="8" t="s">
        <v>45</v>
      </c>
      <c r="D8" s="9" t="s">
        <v>46</v>
      </c>
      <c r="E8" s="9" t="s">
        <v>46</v>
      </c>
      <c r="F8" s="9" t="s">
        <v>46</v>
      </c>
      <c r="G8" s="9" t="s">
        <v>46</v>
      </c>
      <c r="H8" s="9" t="s">
        <v>46</v>
      </c>
      <c r="I8" s="10" t="s">
        <v>47</v>
      </c>
      <c r="J8" s="10" t="s">
        <v>47</v>
      </c>
      <c r="K8" s="9" t="s">
        <v>46</v>
      </c>
      <c r="L8" s="9" t="s">
        <v>46</v>
      </c>
      <c r="M8" s="21" t="s">
        <v>50</v>
      </c>
      <c r="N8" s="11" t="s">
        <v>41</v>
      </c>
      <c r="O8" s="9" t="s">
        <v>46</v>
      </c>
      <c r="P8" s="10" t="s">
        <v>47</v>
      </c>
      <c r="Q8" s="10" t="s">
        <v>47</v>
      </c>
      <c r="R8" s="9" t="s">
        <v>46</v>
      </c>
      <c r="S8" s="9" t="s">
        <v>46</v>
      </c>
      <c r="T8" s="11" t="s">
        <v>41</v>
      </c>
      <c r="U8" s="9" t="s">
        <v>46</v>
      </c>
      <c r="V8" s="9" t="s">
        <v>46</v>
      </c>
      <c r="W8" s="10" t="s">
        <v>47</v>
      </c>
      <c r="X8" s="10" t="s">
        <v>47</v>
      </c>
      <c r="Y8" s="9" t="s">
        <v>46</v>
      </c>
      <c r="Z8" s="12"/>
      <c r="AA8" s="12"/>
      <c r="AB8" s="12"/>
      <c r="AC8" s="12"/>
      <c r="AD8" s="12"/>
      <c r="AE8" s="12"/>
      <c r="AF8" s="12"/>
      <c r="AG8" s="12"/>
      <c r="AH8" s="12"/>
      <c r="AI8" s="13" t="n">
        <f aca="false">COUNTIF(D8:AH8,"P")</f>
        <v>13</v>
      </c>
      <c r="AJ8" s="14" t="n">
        <f aca="false">COUNTIF(D8:AH8,"A")</f>
        <v>0</v>
      </c>
      <c r="AK8" s="15" t="n">
        <f aca="false">COUNTIF(D8:AH8,"L")</f>
        <v>1</v>
      </c>
      <c r="AL8" s="16" t="n">
        <f aca="false">COUNTIF(D8:AH8,"WFH")</f>
        <v>2</v>
      </c>
      <c r="AM8" s="17" t="n">
        <f aca="false">AI8+AK8+AL8</f>
        <v>16</v>
      </c>
      <c r="AN8" s="18" t="n">
        <f aca="false">IFERROR(AJ8/AO8*100,0)</f>
        <v>0</v>
      </c>
    </row>
    <row r="9" customFormat="false" ht="18" hidden="false" customHeight="true" outlineLevel="0" collapsed="false">
      <c r="B9" s="19" t="s">
        <v>57</v>
      </c>
      <c r="C9" s="20" t="s">
        <v>58</v>
      </c>
      <c r="D9" s="9" t="s">
        <v>46</v>
      </c>
      <c r="E9" s="9" t="s">
        <v>46</v>
      </c>
      <c r="F9" s="9" t="s">
        <v>46</v>
      </c>
      <c r="G9" s="11" t="s">
        <v>41</v>
      </c>
      <c r="H9" s="9" t="s">
        <v>46</v>
      </c>
      <c r="I9" s="10" t="s">
        <v>47</v>
      </c>
      <c r="J9" s="10" t="s">
        <v>47</v>
      </c>
      <c r="K9" s="9" t="s">
        <v>46</v>
      </c>
      <c r="L9" s="29" t="s">
        <v>53</v>
      </c>
      <c r="M9" s="9" t="s">
        <v>46</v>
      </c>
      <c r="N9" s="9" t="s">
        <v>46</v>
      </c>
      <c r="O9" s="9" t="s">
        <v>46</v>
      </c>
      <c r="P9" s="10" t="s">
        <v>47</v>
      </c>
      <c r="Q9" s="10" t="s">
        <v>47</v>
      </c>
      <c r="R9" s="9" t="s">
        <v>46</v>
      </c>
      <c r="S9" s="9" t="s">
        <v>46</v>
      </c>
      <c r="T9" s="9" t="s">
        <v>46</v>
      </c>
      <c r="U9" s="9" t="s">
        <v>46</v>
      </c>
      <c r="V9" s="9" t="s">
        <v>46</v>
      </c>
      <c r="W9" s="10" t="s">
        <v>47</v>
      </c>
      <c r="X9" s="10" t="s">
        <v>47</v>
      </c>
      <c r="Y9" s="9" t="s">
        <v>46</v>
      </c>
      <c r="Z9" s="22"/>
      <c r="AA9" s="22"/>
      <c r="AB9" s="22"/>
      <c r="AC9" s="22"/>
      <c r="AD9" s="22"/>
      <c r="AE9" s="22"/>
      <c r="AF9" s="22"/>
      <c r="AG9" s="22"/>
      <c r="AH9" s="22"/>
      <c r="AI9" s="23" t="n">
        <f aca="false">COUNTIF(D9:AH9,"P")</f>
        <v>14</v>
      </c>
      <c r="AJ9" s="24" t="n">
        <f aca="false">COUNTIF(D9:AH9,"A")</f>
        <v>1</v>
      </c>
      <c r="AK9" s="25" t="n">
        <f aca="false">COUNTIF(D9:AH9,"L")</f>
        <v>0</v>
      </c>
      <c r="AL9" s="26" t="n">
        <f aca="false">COUNTIF(D9:AH9,"WFH")</f>
        <v>1</v>
      </c>
      <c r="AM9" s="27" t="n">
        <f aca="false">AI9+AK9+AL9</f>
        <v>15</v>
      </c>
      <c r="AN9" s="28" t="n">
        <f aca="false">IFERROR(AJ9/AO9*100,0)</f>
        <v>0</v>
      </c>
    </row>
    <row r="10" customFormat="false" ht="18" hidden="false" customHeight="true" outlineLevel="0" collapsed="false">
      <c r="B10" s="7" t="s">
        <v>59</v>
      </c>
      <c r="C10" s="8" t="s">
        <v>60</v>
      </c>
      <c r="D10" s="29" t="s">
        <v>53</v>
      </c>
      <c r="E10" s="9" t="s">
        <v>46</v>
      </c>
      <c r="F10" s="29" t="s">
        <v>53</v>
      </c>
      <c r="G10" s="11" t="s">
        <v>41</v>
      </c>
      <c r="H10" s="9" t="s">
        <v>46</v>
      </c>
      <c r="I10" s="10" t="s">
        <v>47</v>
      </c>
      <c r="J10" s="10" t="s">
        <v>47</v>
      </c>
      <c r="K10" s="9" t="s">
        <v>46</v>
      </c>
      <c r="L10" s="9" t="s">
        <v>46</v>
      </c>
      <c r="M10" s="9" t="s">
        <v>46</v>
      </c>
      <c r="N10" s="9" t="s">
        <v>46</v>
      </c>
      <c r="O10" s="9" t="s">
        <v>46</v>
      </c>
      <c r="P10" s="10" t="s">
        <v>47</v>
      </c>
      <c r="Q10" s="10" t="s">
        <v>47</v>
      </c>
      <c r="R10" s="9" t="s">
        <v>46</v>
      </c>
      <c r="S10" s="9" t="s">
        <v>46</v>
      </c>
      <c r="T10" s="9" t="s">
        <v>46</v>
      </c>
      <c r="U10" s="21" t="s">
        <v>50</v>
      </c>
      <c r="V10" s="11" t="s">
        <v>41</v>
      </c>
      <c r="W10" s="10" t="s">
        <v>47</v>
      </c>
      <c r="X10" s="10" t="s">
        <v>47</v>
      </c>
      <c r="Y10" s="9" t="s">
        <v>46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3" t="n">
        <f aca="false">COUNTIF(D10:AH10,"P")</f>
        <v>11</v>
      </c>
      <c r="AJ10" s="14" t="n">
        <f aca="false">COUNTIF(D10:AH10,"A")</f>
        <v>2</v>
      </c>
      <c r="AK10" s="15" t="n">
        <f aca="false">COUNTIF(D10:AH10,"L")</f>
        <v>1</v>
      </c>
      <c r="AL10" s="16" t="n">
        <f aca="false">COUNTIF(D10:AH10,"WFH")</f>
        <v>2</v>
      </c>
      <c r="AM10" s="17" t="n">
        <f aca="false">AI10+AK10+AL10</f>
        <v>14</v>
      </c>
      <c r="AN10" s="18" t="n">
        <f aca="false">IFERROR(AJ10/AO10*100,0)</f>
        <v>0</v>
      </c>
    </row>
    <row r="11" customFormat="false" ht="18" hidden="false" customHeight="true" outlineLevel="0" collapsed="false">
      <c r="B11" s="19" t="s">
        <v>61</v>
      </c>
      <c r="C11" s="20" t="s">
        <v>52</v>
      </c>
      <c r="D11" s="9" t="s">
        <v>46</v>
      </c>
      <c r="E11" s="9" t="s">
        <v>46</v>
      </c>
      <c r="F11" s="11" t="s">
        <v>41</v>
      </c>
      <c r="G11" s="11" t="s">
        <v>41</v>
      </c>
      <c r="H11" s="9" t="s">
        <v>46</v>
      </c>
      <c r="I11" s="10" t="s">
        <v>47</v>
      </c>
      <c r="J11" s="10" t="s">
        <v>47</v>
      </c>
      <c r="K11" s="9" t="s">
        <v>46</v>
      </c>
      <c r="L11" s="9" t="s">
        <v>46</v>
      </c>
      <c r="M11" s="9" t="s">
        <v>46</v>
      </c>
      <c r="N11" s="9" t="s">
        <v>46</v>
      </c>
      <c r="O11" s="9" t="s">
        <v>46</v>
      </c>
      <c r="P11" s="10" t="s">
        <v>47</v>
      </c>
      <c r="Q11" s="10" t="s">
        <v>47</v>
      </c>
      <c r="R11" s="9" t="s">
        <v>46</v>
      </c>
      <c r="S11" s="9" t="s">
        <v>46</v>
      </c>
      <c r="T11" s="9" t="s">
        <v>46</v>
      </c>
      <c r="U11" s="9" t="s">
        <v>46</v>
      </c>
      <c r="V11" s="9" t="s">
        <v>46</v>
      </c>
      <c r="W11" s="10" t="s">
        <v>47</v>
      </c>
      <c r="X11" s="10" t="s">
        <v>47</v>
      </c>
      <c r="Y11" s="21" t="s">
        <v>50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3" t="n">
        <f aca="false">COUNTIF(D11:AH11,"P")</f>
        <v>13</v>
      </c>
      <c r="AJ11" s="24" t="n">
        <f aca="false">COUNTIF(D11:AH11,"A")</f>
        <v>0</v>
      </c>
      <c r="AK11" s="25" t="n">
        <f aca="false">COUNTIF(D11:AH11,"L")</f>
        <v>1</v>
      </c>
      <c r="AL11" s="26" t="n">
        <f aca="false">COUNTIF(D11:AH11,"WFH")</f>
        <v>2</v>
      </c>
      <c r="AM11" s="27" t="n">
        <f aca="false">AI11+AK11+AL11</f>
        <v>16</v>
      </c>
      <c r="AN11" s="28" t="n">
        <f aca="false">IFERROR(AJ11/AO11*100,0)</f>
        <v>0</v>
      </c>
    </row>
    <row r="12" customFormat="false" ht="18" hidden="false" customHeight="true" outlineLevel="0" collapsed="false">
      <c r="B12" s="7" t="s">
        <v>62</v>
      </c>
      <c r="C12" s="8" t="s">
        <v>45</v>
      </c>
      <c r="D12" s="11" t="s">
        <v>41</v>
      </c>
      <c r="E12" s="9" t="s">
        <v>46</v>
      </c>
      <c r="F12" s="9" t="s">
        <v>46</v>
      </c>
      <c r="G12" s="9" t="s">
        <v>46</v>
      </c>
      <c r="H12" s="11" t="s">
        <v>41</v>
      </c>
      <c r="I12" s="10" t="s">
        <v>47</v>
      </c>
      <c r="J12" s="10" t="s">
        <v>47</v>
      </c>
      <c r="K12" s="21" t="s">
        <v>50</v>
      </c>
      <c r="L12" s="9" t="s">
        <v>46</v>
      </c>
      <c r="M12" s="9" t="s">
        <v>46</v>
      </c>
      <c r="N12" s="9" t="s">
        <v>46</v>
      </c>
      <c r="O12" s="9" t="s">
        <v>46</v>
      </c>
      <c r="P12" s="10" t="s">
        <v>47</v>
      </c>
      <c r="Q12" s="10" t="s">
        <v>47</v>
      </c>
      <c r="R12" s="9" t="s">
        <v>46</v>
      </c>
      <c r="S12" s="9" t="s">
        <v>46</v>
      </c>
      <c r="T12" s="9" t="s">
        <v>46</v>
      </c>
      <c r="U12" s="9" t="s">
        <v>46</v>
      </c>
      <c r="V12" s="9" t="s">
        <v>46</v>
      </c>
      <c r="W12" s="10" t="s">
        <v>47</v>
      </c>
      <c r="X12" s="10" t="s">
        <v>47</v>
      </c>
      <c r="Y12" s="11" t="s">
        <v>41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3" t="n">
        <f aca="false">COUNTIF(D12:AH12,"P")</f>
        <v>12</v>
      </c>
      <c r="AJ12" s="14" t="n">
        <f aca="false">COUNTIF(D12:AH12,"A")</f>
        <v>0</v>
      </c>
      <c r="AK12" s="15" t="n">
        <f aca="false">COUNTIF(D12:AH12,"L")</f>
        <v>1</v>
      </c>
      <c r="AL12" s="16" t="n">
        <f aca="false">COUNTIF(D12:AH12,"WFH")</f>
        <v>3</v>
      </c>
      <c r="AM12" s="17" t="n">
        <f aca="false">AI12+AK12+AL12</f>
        <v>16</v>
      </c>
      <c r="AN12" s="18" t="n">
        <f aca="false">IFERROR(AJ12/AO12*100,0)</f>
        <v>0</v>
      </c>
    </row>
    <row r="13" customFormat="false" ht="18" hidden="false" customHeight="true" outlineLevel="0" collapsed="false">
      <c r="B13" s="19" t="s">
        <v>63</v>
      </c>
      <c r="C13" s="20" t="s">
        <v>55</v>
      </c>
      <c r="D13" s="9" t="s">
        <v>46</v>
      </c>
      <c r="E13" s="9" t="s">
        <v>46</v>
      </c>
      <c r="F13" s="9" t="s">
        <v>46</v>
      </c>
      <c r="G13" s="9" t="s">
        <v>46</v>
      </c>
      <c r="H13" s="9" t="s">
        <v>46</v>
      </c>
      <c r="I13" s="10" t="s">
        <v>47</v>
      </c>
      <c r="J13" s="10" t="s">
        <v>47</v>
      </c>
      <c r="K13" s="9" t="s">
        <v>46</v>
      </c>
      <c r="L13" s="29" t="s">
        <v>53</v>
      </c>
      <c r="M13" s="9" t="s">
        <v>46</v>
      </c>
      <c r="N13" s="9" t="s">
        <v>46</v>
      </c>
      <c r="O13" s="9" t="s">
        <v>46</v>
      </c>
      <c r="P13" s="10" t="s">
        <v>47</v>
      </c>
      <c r="Q13" s="10" t="s">
        <v>47</v>
      </c>
      <c r="R13" s="9" t="s">
        <v>46</v>
      </c>
      <c r="S13" s="9" t="s">
        <v>46</v>
      </c>
      <c r="T13" s="9" t="s">
        <v>46</v>
      </c>
      <c r="U13" s="9" t="s">
        <v>46</v>
      </c>
      <c r="V13" s="9" t="s">
        <v>46</v>
      </c>
      <c r="W13" s="10" t="s">
        <v>47</v>
      </c>
      <c r="X13" s="10" t="s">
        <v>47</v>
      </c>
      <c r="Y13" s="9" t="s">
        <v>46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3" t="n">
        <f aca="false">COUNTIF(D13:AH13,"P")</f>
        <v>15</v>
      </c>
      <c r="AJ13" s="24" t="n">
        <f aca="false">COUNTIF(D13:AH13,"A")</f>
        <v>1</v>
      </c>
      <c r="AK13" s="25" t="n">
        <f aca="false">COUNTIF(D13:AH13,"L")</f>
        <v>0</v>
      </c>
      <c r="AL13" s="26" t="n">
        <f aca="false">COUNTIF(D13:AH13,"WFH")</f>
        <v>0</v>
      </c>
      <c r="AM13" s="27" t="n">
        <f aca="false">AI13+AK13+AL13</f>
        <v>15</v>
      </c>
      <c r="AN13" s="28" t="n">
        <f aca="false">IFERROR(AJ13/AO13*100,0)</f>
        <v>0</v>
      </c>
    </row>
    <row r="14" customFormat="false" ht="19.5" hidden="false" customHeight="true" outlineLevel="0" collapsed="false">
      <c r="B14" s="30" t="s">
        <v>64</v>
      </c>
      <c r="C14" s="30"/>
      <c r="D14" s="31" t="n">
        <f aca="false">COUNTA(D4:D13)</f>
        <v>10</v>
      </c>
      <c r="E14" s="31" t="n">
        <f aca="false">COUNTA(E4:E13)</f>
        <v>10</v>
      </c>
      <c r="F14" s="31" t="n">
        <f aca="false">COUNTA(F4:F13)</f>
        <v>10</v>
      </c>
      <c r="G14" s="31" t="n">
        <f aca="false">COUNTA(G4:G13)</f>
        <v>10</v>
      </c>
      <c r="H14" s="31" t="n">
        <f aca="false">COUNTA(H4:H13)</f>
        <v>10</v>
      </c>
      <c r="I14" s="31" t="n">
        <f aca="false">COUNTA(I4:I13)</f>
        <v>10</v>
      </c>
      <c r="J14" s="31" t="n">
        <f aca="false">COUNTA(J4:J13)</f>
        <v>10</v>
      </c>
      <c r="K14" s="31" t="n">
        <f aca="false">COUNTA(K4:K13)</f>
        <v>10</v>
      </c>
      <c r="L14" s="31" t="n">
        <f aca="false">COUNTA(L4:L13)</f>
        <v>10</v>
      </c>
      <c r="M14" s="31" t="n">
        <f aca="false">COUNTA(M4:M13)</f>
        <v>10</v>
      </c>
      <c r="N14" s="31" t="n">
        <f aca="false">COUNTA(N4:N13)</f>
        <v>10</v>
      </c>
      <c r="O14" s="31" t="n">
        <f aca="false">COUNTA(O4:O13)</f>
        <v>10</v>
      </c>
      <c r="P14" s="31" t="n">
        <f aca="false">COUNTA(P4:P13)</f>
        <v>10</v>
      </c>
      <c r="Q14" s="31" t="n">
        <f aca="false">COUNTA(Q4:Q13)</f>
        <v>10</v>
      </c>
      <c r="R14" s="31" t="n">
        <f aca="false">COUNTA(R4:R13)</f>
        <v>10</v>
      </c>
      <c r="S14" s="31" t="n">
        <f aca="false">COUNTA(S4:S13)</f>
        <v>10</v>
      </c>
      <c r="T14" s="31" t="n">
        <f aca="false">COUNTA(T4:T13)</f>
        <v>10</v>
      </c>
      <c r="U14" s="31" t="n">
        <f aca="false">COUNTA(U4:U13)</f>
        <v>10</v>
      </c>
      <c r="V14" s="31" t="n">
        <f aca="false">COUNTA(V4:V13)</f>
        <v>10</v>
      </c>
      <c r="W14" s="31" t="n">
        <f aca="false">COUNTA(W4:W13)</f>
        <v>10</v>
      </c>
      <c r="X14" s="31" t="n">
        <f aca="false">COUNTA(X4:X13)</f>
        <v>10</v>
      </c>
      <c r="Y14" s="31" t="n">
        <f aca="false">COUNTA(Y4:Y13)</f>
        <v>10</v>
      </c>
      <c r="Z14" s="31" t="n">
        <f aca="false">COUNTA(Z4:Z13)</f>
        <v>0</v>
      </c>
      <c r="AA14" s="31" t="n">
        <f aca="false">COUNTA(AA4:AA13)</f>
        <v>0</v>
      </c>
      <c r="AB14" s="31" t="n">
        <f aca="false">COUNTA(AB4:AB13)</f>
        <v>0</v>
      </c>
      <c r="AC14" s="31" t="n">
        <f aca="false">COUNTA(AC4:AC13)</f>
        <v>0</v>
      </c>
      <c r="AD14" s="31" t="n">
        <f aca="false">COUNTA(AD4:AD13)</f>
        <v>0</v>
      </c>
      <c r="AE14" s="31" t="n">
        <f aca="false">COUNTA(AE4:AE13)</f>
        <v>0</v>
      </c>
      <c r="AF14" s="31" t="n">
        <f aca="false">COUNTA(AF4:AF13)</f>
        <v>0</v>
      </c>
      <c r="AG14" s="31" t="n">
        <f aca="false">COUNTA(AG4:AG13)</f>
        <v>0</v>
      </c>
      <c r="AH14" s="31" t="n">
        <f aca="false">COUNTA(AH4:AH13)</f>
        <v>0</v>
      </c>
      <c r="AI14" s="32" t="n">
        <f aca="false">SUM(AI4:AI13)</f>
        <v>136</v>
      </c>
      <c r="AJ14" s="32" t="n">
        <f aca="false">SUM(AJ4:AJ13)</f>
        <v>6</v>
      </c>
      <c r="AK14" s="32" t="n">
        <f aca="false">SUM(AK4:AK13)</f>
        <v>6</v>
      </c>
      <c r="AL14" s="32" t="n">
        <f aca="false">SUM(AL4:AL13)</f>
        <v>12</v>
      </c>
      <c r="AM14" s="32" t="n">
        <f aca="false">SUM(AM4:AM13)</f>
        <v>154</v>
      </c>
      <c r="AN14" s="32" t="n">
        <f aca="false">SUM(AN4:AN13)</f>
        <v>0</v>
      </c>
    </row>
    <row r="16" customFormat="false" ht="15.75" hidden="false" customHeight="true" outlineLevel="0" collapsed="false">
      <c r="B16" s="33" t="s">
        <v>65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</sheetData>
  <mergeCells count="5">
    <mergeCell ref="B1:AK1"/>
    <mergeCell ref="B2:C2"/>
    <mergeCell ref="E2:F2"/>
    <mergeCell ref="B14:C14"/>
    <mergeCell ref="B16:A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8" min="4" style="0" width="13"/>
    <col collapsed="false" customWidth="true" hidden="false" outlineLevel="0" max="12" min="9" style="0" width="14"/>
  </cols>
  <sheetData>
    <row r="1" customFormat="false" ht="25.5" hidden="false" customHeight="true" outlineLevel="0" collapsed="false">
      <c r="B1" s="1" t="s">
        <v>66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67</v>
      </c>
      <c r="C2" s="2"/>
      <c r="D2" s="2"/>
      <c r="E2" s="34" t="n">
        <v>22</v>
      </c>
      <c r="F2" s="2" t="s">
        <v>68</v>
      </c>
      <c r="G2" s="2"/>
      <c r="H2" s="34" t="n">
        <v>250</v>
      </c>
    </row>
    <row r="3" customFormat="false" ht="21.75" hidden="false" customHeight="true" outlineLevel="0" collapsed="false">
      <c r="B3" s="35" t="s">
        <v>5</v>
      </c>
      <c r="C3" s="35" t="s">
        <v>6</v>
      </c>
      <c r="D3" s="35" t="s">
        <v>69</v>
      </c>
      <c r="E3" s="35" t="s">
        <v>70</v>
      </c>
      <c r="F3" s="35" t="s">
        <v>71</v>
      </c>
      <c r="G3" s="35" t="s">
        <v>72</v>
      </c>
      <c r="H3" s="35" t="s">
        <v>73</v>
      </c>
      <c r="I3" s="35" t="s">
        <v>74</v>
      </c>
      <c r="J3" s="35" t="s">
        <v>75</v>
      </c>
      <c r="K3" s="35" t="s">
        <v>76</v>
      </c>
      <c r="L3" s="35" t="s">
        <v>77</v>
      </c>
    </row>
    <row r="4" customFormat="false" ht="19.5" hidden="false" customHeight="true" outlineLevel="0" collapsed="false">
      <c r="B4" s="7" t="s">
        <v>44</v>
      </c>
      <c r="C4" s="8" t="s">
        <v>45</v>
      </c>
      <c r="D4" s="36" t="n">
        <v>45000</v>
      </c>
      <c r="E4" s="13" t="n">
        <f aca="false">Attendance!AI4</f>
        <v>15</v>
      </c>
      <c r="F4" s="14" t="n">
        <f aca="false">Attendance!AJ4</f>
        <v>0</v>
      </c>
      <c r="G4" s="15" t="n">
        <f aca="false">Attendance!AK4</f>
        <v>0</v>
      </c>
      <c r="H4" s="37" t="n">
        <f aca="false">ROUND(D4/$E$2*(E4+G4+Attendance!AL4),0)</f>
        <v>32727</v>
      </c>
      <c r="I4" s="38" t="n">
        <f aca="false">ROUND(D4/$E$2*F4,0)</f>
        <v>0</v>
      </c>
      <c r="J4" s="37" t="n">
        <f aca="false">$H$2</f>
        <v>250</v>
      </c>
      <c r="K4" s="39" t="n">
        <f aca="false">H4-I4-J4</f>
        <v>32477</v>
      </c>
      <c r="L4" s="40" t="str">
        <f aca="false">IF(F4&gt;2,"Review","OK")</f>
        <v>OK</v>
      </c>
    </row>
    <row r="5" customFormat="false" ht="19.5" hidden="false" customHeight="true" outlineLevel="0" collapsed="false">
      <c r="B5" s="19" t="s">
        <v>48</v>
      </c>
      <c r="C5" s="20" t="s">
        <v>49</v>
      </c>
      <c r="D5" s="41" t="n">
        <v>38000</v>
      </c>
      <c r="E5" s="23" t="n">
        <f aca="false">Attendance!AI5</f>
        <v>15</v>
      </c>
      <c r="F5" s="24" t="n">
        <f aca="false">Attendance!AJ5</f>
        <v>0</v>
      </c>
      <c r="G5" s="25" t="n">
        <f aca="false">Attendance!AK5</f>
        <v>1</v>
      </c>
      <c r="H5" s="42" t="n">
        <f aca="false">ROUND(D5/$E$2*(E5+G5+Attendance!AL5),0)</f>
        <v>27636</v>
      </c>
      <c r="I5" s="43" t="n">
        <f aca="false">ROUND(D5/$E$2*F5,0)</f>
        <v>0</v>
      </c>
      <c r="J5" s="42" t="n">
        <f aca="false">$H$2</f>
        <v>250</v>
      </c>
      <c r="K5" s="44" t="n">
        <f aca="false">H5-I5-J5</f>
        <v>27386</v>
      </c>
      <c r="L5" s="45" t="str">
        <f aca="false">IF(F5&gt;2,"Review","OK")</f>
        <v>OK</v>
      </c>
    </row>
    <row r="6" customFormat="false" ht="19.5" hidden="false" customHeight="true" outlineLevel="0" collapsed="false">
      <c r="B6" s="7" t="s">
        <v>51</v>
      </c>
      <c r="C6" s="8" t="s">
        <v>52</v>
      </c>
      <c r="D6" s="36" t="n">
        <v>42000</v>
      </c>
      <c r="E6" s="13" t="n">
        <f aca="false">Attendance!AI6</f>
        <v>14</v>
      </c>
      <c r="F6" s="14" t="n">
        <f aca="false">Attendance!AJ6</f>
        <v>1</v>
      </c>
      <c r="G6" s="15" t="n">
        <f aca="false">Attendance!AK6</f>
        <v>0</v>
      </c>
      <c r="H6" s="37" t="n">
        <f aca="false">ROUND(D6/$E$2*(E6+G6+Attendance!AL6),0)</f>
        <v>28636</v>
      </c>
      <c r="I6" s="38" t="n">
        <f aca="false">ROUND(D6/$E$2*F6,0)</f>
        <v>1909</v>
      </c>
      <c r="J6" s="37" t="n">
        <f aca="false">$H$2</f>
        <v>250</v>
      </c>
      <c r="K6" s="39" t="n">
        <f aca="false">H6-I6-J6</f>
        <v>26477</v>
      </c>
      <c r="L6" s="40" t="str">
        <f aca="false">IF(F6&gt;2,"Review","OK")</f>
        <v>OK</v>
      </c>
    </row>
    <row r="7" customFormat="false" ht="19.5" hidden="false" customHeight="true" outlineLevel="0" collapsed="false">
      <c r="B7" s="19" t="s">
        <v>54</v>
      </c>
      <c r="C7" s="20" t="s">
        <v>55</v>
      </c>
      <c r="D7" s="41" t="n">
        <v>50000</v>
      </c>
      <c r="E7" s="23" t="n">
        <f aca="false">Attendance!AI7</f>
        <v>14</v>
      </c>
      <c r="F7" s="24" t="n">
        <f aca="false">Attendance!AJ7</f>
        <v>1</v>
      </c>
      <c r="G7" s="25" t="n">
        <f aca="false">Attendance!AK7</f>
        <v>1</v>
      </c>
      <c r="H7" s="42" t="n">
        <f aca="false">ROUND(D7/$E$2*(E7+G7+Attendance!AL7),0)</f>
        <v>34091</v>
      </c>
      <c r="I7" s="43" t="n">
        <f aca="false">ROUND(D7/$E$2*F7,0)</f>
        <v>2273</v>
      </c>
      <c r="J7" s="42" t="n">
        <f aca="false">$H$2</f>
        <v>250</v>
      </c>
      <c r="K7" s="44" t="n">
        <f aca="false">H7-I7-J7</f>
        <v>31568</v>
      </c>
      <c r="L7" s="45" t="str">
        <f aca="false">IF(F7&gt;2,"Review","OK")</f>
        <v>OK</v>
      </c>
    </row>
    <row r="8" customFormat="false" ht="19.5" hidden="false" customHeight="true" outlineLevel="0" collapsed="false">
      <c r="B8" s="7" t="s">
        <v>56</v>
      </c>
      <c r="C8" s="8" t="s">
        <v>45</v>
      </c>
      <c r="D8" s="36" t="n">
        <v>40000</v>
      </c>
      <c r="E8" s="13" t="n">
        <f aca="false">Attendance!AI8</f>
        <v>13</v>
      </c>
      <c r="F8" s="14" t="n">
        <f aca="false">Attendance!AJ8</f>
        <v>0</v>
      </c>
      <c r="G8" s="15" t="n">
        <f aca="false">Attendance!AK8</f>
        <v>1</v>
      </c>
      <c r="H8" s="37" t="n">
        <f aca="false">ROUND(D8/$E$2*(E8+G8+Attendance!AL8),0)</f>
        <v>29091</v>
      </c>
      <c r="I8" s="38" t="n">
        <f aca="false">ROUND(D8/$E$2*F8,0)</f>
        <v>0</v>
      </c>
      <c r="J8" s="37" t="n">
        <f aca="false">$H$2</f>
        <v>250</v>
      </c>
      <c r="K8" s="39" t="n">
        <f aca="false">H8-I8-J8</f>
        <v>28841</v>
      </c>
      <c r="L8" s="40" t="str">
        <f aca="false">IF(F8&gt;2,"Review","OK")</f>
        <v>OK</v>
      </c>
    </row>
    <row r="9" customFormat="false" ht="19.5" hidden="false" customHeight="true" outlineLevel="0" collapsed="false">
      <c r="B9" s="19" t="s">
        <v>57</v>
      </c>
      <c r="C9" s="20" t="s">
        <v>58</v>
      </c>
      <c r="D9" s="41" t="n">
        <v>36000</v>
      </c>
      <c r="E9" s="23" t="n">
        <f aca="false">Attendance!AI9</f>
        <v>14</v>
      </c>
      <c r="F9" s="24" t="n">
        <f aca="false">Attendance!AJ9</f>
        <v>1</v>
      </c>
      <c r="G9" s="25" t="n">
        <f aca="false">Attendance!AK9</f>
        <v>0</v>
      </c>
      <c r="H9" s="42" t="n">
        <f aca="false">ROUND(D9/$E$2*(E9+G9+Attendance!AL9),0)</f>
        <v>24545</v>
      </c>
      <c r="I9" s="43" t="n">
        <f aca="false">ROUND(D9/$E$2*F9,0)</f>
        <v>1636</v>
      </c>
      <c r="J9" s="42" t="n">
        <f aca="false">$H$2</f>
        <v>250</v>
      </c>
      <c r="K9" s="44" t="n">
        <f aca="false">H9-I9-J9</f>
        <v>22659</v>
      </c>
      <c r="L9" s="45" t="str">
        <f aca="false">IF(F9&gt;2,"Review","OK")</f>
        <v>OK</v>
      </c>
    </row>
    <row r="10" customFormat="false" ht="19.5" hidden="false" customHeight="true" outlineLevel="0" collapsed="false">
      <c r="B10" s="7" t="s">
        <v>59</v>
      </c>
      <c r="C10" s="8" t="s">
        <v>60</v>
      </c>
      <c r="D10" s="36" t="n">
        <v>55000</v>
      </c>
      <c r="E10" s="13" t="n">
        <f aca="false">Attendance!AI10</f>
        <v>11</v>
      </c>
      <c r="F10" s="14" t="n">
        <f aca="false">Attendance!AJ10</f>
        <v>2</v>
      </c>
      <c r="G10" s="15" t="n">
        <f aca="false">Attendance!AK10</f>
        <v>1</v>
      </c>
      <c r="H10" s="37" t="n">
        <f aca="false">ROUND(D10/$E$2*(E10+G10+Attendance!AL10),0)</f>
        <v>35000</v>
      </c>
      <c r="I10" s="38" t="n">
        <f aca="false">ROUND(D10/$E$2*F10,0)</f>
        <v>5000</v>
      </c>
      <c r="J10" s="37" t="n">
        <f aca="false">$H$2</f>
        <v>250</v>
      </c>
      <c r="K10" s="39" t="n">
        <f aca="false">H10-I10-J10</f>
        <v>29750</v>
      </c>
      <c r="L10" s="40" t="str">
        <f aca="false">IF(F10&gt;2,"Review","OK")</f>
        <v>OK</v>
      </c>
    </row>
    <row r="11" customFormat="false" ht="19.5" hidden="false" customHeight="true" outlineLevel="0" collapsed="false">
      <c r="B11" s="19" t="s">
        <v>61</v>
      </c>
      <c r="C11" s="20" t="s">
        <v>52</v>
      </c>
      <c r="D11" s="41" t="n">
        <v>39000</v>
      </c>
      <c r="E11" s="23" t="n">
        <f aca="false">Attendance!AI11</f>
        <v>13</v>
      </c>
      <c r="F11" s="24" t="n">
        <f aca="false">Attendance!AJ11</f>
        <v>0</v>
      </c>
      <c r="G11" s="25" t="n">
        <f aca="false">Attendance!AK11</f>
        <v>1</v>
      </c>
      <c r="H11" s="42" t="n">
        <f aca="false">ROUND(D11/$E$2*(E11+G11+Attendance!AL11),0)</f>
        <v>28364</v>
      </c>
      <c r="I11" s="43" t="n">
        <f aca="false">ROUND(D11/$E$2*F11,0)</f>
        <v>0</v>
      </c>
      <c r="J11" s="42" t="n">
        <f aca="false">$H$2</f>
        <v>250</v>
      </c>
      <c r="K11" s="44" t="n">
        <f aca="false">H11-I11-J11</f>
        <v>28114</v>
      </c>
      <c r="L11" s="45" t="str">
        <f aca="false">IF(F11&gt;2,"Review","OK")</f>
        <v>OK</v>
      </c>
    </row>
    <row r="12" customFormat="false" ht="19.5" hidden="false" customHeight="true" outlineLevel="0" collapsed="false">
      <c r="B12" s="7" t="s">
        <v>62</v>
      </c>
      <c r="C12" s="8" t="s">
        <v>45</v>
      </c>
      <c r="D12" s="36" t="n">
        <v>41000</v>
      </c>
      <c r="E12" s="13" t="n">
        <f aca="false">Attendance!AI12</f>
        <v>12</v>
      </c>
      <c r="F12" s="14" t="n">
        <f aca="false">Attendance!AJ12</f>
        <v>0</v>
      </c>
      <c r="G12" s="15" t="n">
        <f aca="false">Attendance!AK12</f>
        <v>1</v>
      </c>
      <c r="H12" s="37" t="n">
        <f aca="false">ROUND(D12/$E$2*(E12+G12+Attendance!AL12),0)</f>
        <v>29818</v>
      </c>
      <c r="I12" s="38" t="n">
        <f aca="false">ROUND(D12/$E$2*F12,0)</f>
        <v>0</v>
      </c>
      <c r="J12" s="37" t="n">
        <f aca="false">$H$2</f>
        <v>250</v>
      </c>
      <c r="K12" s="39" t="n">
        <f aca="false">H12-I12-J12</f>
        <v>29568</v>
      </c>
      <c r="L12" s="40" t="str">
        <f aca="false">IF(F12&gt;2,"Review","OK")</f>
        <v>OK</v>
      </c>
    </row>
    <row r="13" customFormat="false" ht="19.5" hidden="false" customHeight="true" outlineLevel="0" collapsed="false">
      <c r="B13" s="19" t="s">
        <v>63</v>
      </c>
      <c r="C13" s="20" t="s">
        <v>55</v>
      </c>
      <c r="D13" s="41" t="n">
        <v>48000</v>
      </c>
      <c r="E13" s="23" t="n">
        <f aca="false">Attendance!AI13</f>
        <v>15</v>
      </c>
      <c r="F13" s="24" t="n">
        <f aca="false">Attendance!AJ13</f>
        <v>1</v>
      </c>
      <c r="G13" s="25" t="n">
        <f aca="false">Attendance!AK13</f>
        <v>0</v>
      </c>
      <c r="H13" s="42" t="n">
        <f aca="false">ROUND(D13/$E$2*(E13+G13+Attendance!AL13),0)</f>
        <v>32727</v>
      </c>
      <c r="I13" s="43" t="n">
        <f aca="false">ROUND(D13/$E$2*F13,0)</f>
        <v>2182</v>
      </c>
      <c r="J13" s="42" t="n">
        <f aca="false">$H$2</f>
        <v>250</v>
      </c>
      <c r="K13" s="44" t="n">
        <f aca="false">H13-I13-J13</f>
        <v>30295</v>
      </c>
      <c r="L13" s="45" t="str">
        <f aca="false">IF(F13&gt;2,"Review","OK")</f>
        <v>OK</v>
      </c>
    </row>
    <row r="14" customFormat="false" ht="21.75" hidden="false" customHeight="true" outlineLevel="0" collapsed="false">
      <c r="B14" s="32" t="s">
        <v>78</v>
      </c>
      <c r="C14" s="46"/>
      <c r="D14" s="47" t="n">
        <f aca="false">SUM(D4:D13)</f>
        <v>434000</v>
      </c>
      <c r="E14" s="32" t="n">
        <f aca="false">SUM(E4:E13)</f>
        <v>136</v>
      </c>
      <c r="F14" s="32" t="n">
        <f aca="false">SUM(F4:F13)</f>
        <v>6</v>
      </c>
      <c r="G14" s="32" t="n">
        <f aca="false">SUM(G4:G13)</f>
        <v>6</v>
      </c>
      <c r="H14" s="47" t="n">
        <f aca="false">SUM(H4:H13)</f>
        <v>302635</v>
      </c>
      <c r="I14" s="47" t="n">
        <f aca="false">SUM(I4:I13)</f>
        <v>13000</v>
      </c>
      <c r="J14" s="47" t="n">
        <f aca="false">SUM(J4:J13)</f>
        <v>2500</v>
      </c>
      <c r="K14" s="48" t="n">
        <f aca="false">SUM(K4:K13)</f>
        <v>287135</v>
      </c>
      <c r="L14" s="46"/>
    </row>
  </sheetData>
  <mergeCells count="3">
    <mergeCell ref="B1:L1"/>
    <mergeCell ref="B2:D2"/>
    <mergeCell ref="F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6" min="3" style="0" width="20"/>
  </cols>
  <sheetData>
    <row r="1" customFormat="false" ht="25.5" hidden="false" customHeight="true" outlineLevel="0" collapsed="false">
      <c r="B1" s="1" t="s">
        <v>79</v>
      </c>
      <c r="C1" s="1"/>
      <c r="D1" s="1"/>
      <c r="E1" s="1"/>
      <c r="F1" s="1"/>
    </row>
    <row r="2" customFormat="false" ht="13.5" hidden="false" customHeight="true" outlineLevel="0" collapsed="false">
      <c r="B2" s="49" t="s">
        <v>80</v>
      </c>
      <c r="C2" s="49"/>
      <c r="D2" s="49"/>
      <c r="E2" s="49"/>
      <c r="F2" s="49"/>
    </row>
    <row r="3" customFormat="false" ht="15" hidden="false" customHeight="false" outlineLevel="0" collapsed="false">
      <c r="B3" s="50" t="s">
        <v>81</v>
      </c>
      <c r="C3" s="50"/>
      <c r="D3" s="50" t="s">
        <v>82</v>
      </c>
      <c r="E3" s="50"/>
      <c r="F3" s="4" t="s">
        <v>83</v>
      </c>
    </row>
    <row r="4" customFormat="false" ht="31.5" hidden="false" customHeight="true" outlineLevel="0" collapsed="false">
      <c r="B4" s="51" t="n">
        <v>10</v>
      </c>
      <c r="C4" s="51"/>
      <c r="D4" s="52" t="n">
        <f aca="false">Payroll!K14</f>
        <v>287135</v>
      </c>
      <c r="E4" s="52"/>
      <c r="F4" s="53" t="n">
        <f aca="false">IFERROR(Attendance!AI14/(Attendance!AI14+Attendance!AJ14),0)</f>
        <v>0.957746478873239</v>
      </c>
    </row>
    <row r="6" customFormat="false" ht="19.5" hidden="false" customHeight="true" outlineLevel="0" collapsed="false">
      <c r="B6" s="4" t="s">
        <v>84</v>
      </c>
      <c r="C6" s="4" t="s">
        <v>85</v>
      </c>
      <c r="D6" s="4" t="s">
        <v>70</v>
      </c>
      <c r="E6" s="4" t="s">
        <v>71</v>
      </c>
      <c r="F6" s="4" t="s">
        <v>77</v>
      </c>
    </row>
    <row r="7" customFormat="false" ht="19.5" hidden="false" customHeight="true" outlineLevel="0" collapsed="false">
      <c r="B7" s="7" t="s">
        <v>44</v>
      </c>
      <c r="C7" s="54" t="n">
        <f aca="false">Payroll!K4</f>
        <v>32477</v>
      </c>
      <c r="D7" s="40" t="n">
        <f aca="false">Payroll!E4</f>
        <v>15</v>
      </c>
      <c r="E7" s="14" t="n">
        <f aca="false">Payroll!F4</f>
        <v>0</v>
      </c>
      <c r="F7" s="40" t="str">
        <f aca="false">Payroll!L4</f>
        <v>OK</v>
      </c>
    </row>
    <row r="8" customFormat="false" ht="19.5" hidden="false" customHeight="true" outlineLevel="0" collapsed="false">
      <c r="B8" s="19" t="s">
        <v>48</v>
      </c>
      <c r="C8" s="55" t="n">
        <f aca="false">Payroll!K5</f>
        <v>27386</v>
      </c>
      <c r="D8" s="45" t="n">
        <f aca="false">Payroll!E5</f>
        <v>15</v>
      </c>
      <c r="E8" s="24" t="n">
        <f aca="false">Payroll!F5</f>
        <v>0</v>
      </c>
      <c r="F8" s="45" t="str">
        <f aca="false">Payroll!L5</f>
        <v>OK</v>
      </c>
    </row>
    <row r="9" customFormat="false" ht="19.5" hidden="false" customHeight="true" outlineLevel="0" collapsed="false">
      <c r="B9" s="7" t="s">
        <v>51</v>
      </c>
      <c r="C9" s="54" t="n">
        <f aca="false">Payroll!K6</f>
        <v>26477</v>
      </c>
      <c r="D9" s="40" t="n">
        <f aca="false">Payroll!E6</f>
        <v>14</v>
      </c>
      <c r="E9" s="14" t="n">
        <f aca="false">Payroll!F6</f>
        <v>1</v>
      </c>
      <c r="F9" s="40" t="str">
        <f aca="false">Payroll!L6</f>
        <v>OK</v>
      </c>
    </row>
    <row r="10" customFormat="false" ht="19.5" hidden="false" customHeight="true" outlineLevel="0" collapsed="false">
      <c r="B10" s="19" t="s">
        <v>54</v>
      </c>
      <c r="C10" s="55" t="n">
        <f aca="false">Payroll!K7</f>
        <v>31568</v>
      </c>
      <c r="D10" s="45" t="n">
        <f aca="false">Payroll!E7</f>
        <v>14</v>
      </c>
      <c r="E10" s="24" t="n">
        <f aca="false">Payroll!F7</f>
        <v>1</v>
      </c>
      <c r="F10" s="45" t="str">
        <f aca="false">Payroll!L7</f>
        <v>OK</v>
      </c>
    </row>
    <row r="11" customFormat="false" ht="19.5" hidden="false" customHeight="true" outlineLevel="0" collapsed="false">
      <c r="B11" s="7" t="s">
        <v>56</v>
      </c>
      <c r="C11" s="54" t="n">
        <f aca="false">Payroll!K8</f>
        <v>28841</v>
      </c>
      <c r="D11" s="40" t="n">
        <f aca="false">Payroll!E8</f>
        <v>13</v>
      </c>
      <c r="E11" s="14" t="n">
        <f aca="false">Payroll!F8</f>
        <v>0</v>
      </c>
      <c r="F11" s="40" t="str">
        <f aca="false">Payroll!L8</f>
        <v>OK</v>
      </c>
    </row>
    <row r="12" customFormat="false" ht="19.5" hidden="false" customHeight="true" outlineLevel="0" collapsed="false">
      <c r="B12" s="19" t="s">
        <v>57</v>
      </c>
      <c r="C12" s="55" t="n">
        <f aca="false">Payroll!K9</f>
        <v>22659</v>
      </c>
      <c r="D12" s="45" t="n">
        <f aca="false">Payroll!E9</f>
        <v>14</v>
      </c>
      <c r="E12" s="24" t="n">
        <f aca="false">Payroll!F9</f>
        <v>1</v>
      </c>
      <c r="F12" s="45" t="str">
        <f aca="false">Payroll!L9</f>
        <v>OK</v>
      </c>
    </row>
    <row r="13" customFormat="false" ht="19.5" hidden="false" customHeight="true" outlineLevel="0" collapsed="false">
      <c r="B13" s="7" t="s">
        <v>59</v>
      </c>
      <c r="C13" s="54" t="n">
        <f aca="false">Payroll!K10</f>
        <v>29750</v>
      </c>
      <c r="D13" s="40" t="n">
        <f aca="false">Payroll!E10</f>
        <v>11</v>
      </c>
      <c r="E13" s="14" t="n">
        <f aca="false">Payroll!F10</f>
        <v>2</v>
      </c>
      <c r="F13" s="40" t="str">
        <f aca="false">Payroll!L10</f>
        <v>OK</v>
      </c>
    </row>
    <row r="14" customFormat="false" ht="19.5" hidden="false" customHeight="true" outlineLevel="0" collapsed="false">
      <c r="B14" s="19" t="s">
        <v>61</v>
      </c>
      <c r="C14" s="55" t="n">
        <f aca="false">Payroll!K11</f>
        <v>28114</v>
      </c>
      <c r="D14" s="45" t="n">
        <f aca="false">Payroll!E11</f>
        <v>13</v>
      </c>
      <c r="E14" s="24" t="n">
        <f aca="false">Payroll!F11</f>
        <v>0</v>
      </c>
      <c r="F14" s="45" t="str">
        <f aca="false">Payroll!L11</f>
        <v>OK</v>
      </c>
    </row>
    <row r="15" customFormat="false" ht="19.5" hidden="false" customHeight="true" outlineLevel="0" collapsed="false">
      <c r="B15" s="7" t="s">
        <v>62</v>
      </c>
      <c r="C15" s="54" t="n">
        <f aca="false">Payroll!K12</f>
        <v>29568</v>
      </c>
      <c r="D15" s="40" t="n">
        <f aca="false">Payroll!E12</f>
        <v>12</v>
      </c>
      <c r="E15" s="14" t="n">
        <f aca="false">Payroll!F12</f>
        <v>0</v>
      </c>
      <c r="F15" s="40" t="str">
        <f aca="false">Payroll!L12</f>
        <v>OK</v>
      </c>
    </row>
    <row r="16" customFormat="false" ht="19.5" hidden="false" customHeight="true" outlineLevel="0" collapsed="false">
      <c r="B16" s="19" t="s">
        <v>63</v>
      </c>
      <c r="C16" s="55" t="n">
        <f aca="false">Payroll!K13</f>
        <v>30295</v>
      </c>
      <c r="D16" s="45" t="n">
        <f aca="false">Payroll!E13</f>
        <v>15</v>
      </c>
      <c r="E16" s="24" t="n">
        <f aca="false">Payroll!F13</f>
        <v>1</v>
      </c>
      <c r="F16" s="45" t="str">
        <f aca="false">Payroll!L13</f>
        <v>OK</v>
      </c>
    </row>
  </sheetData>
  <mergeCells count="6">
    <mergeCell ref="B1:F1"/>
    <mergeCell ref="B2:F2"/>
    <mergeCell ref="B3:C3"/>
    <mergeCell ref="D3:E3"/>
    <mergeCell ref="B4:C4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86</v>
      </c>
      <c r="B1" s="1"/>
    </row>
    <row r="2" customFormat="false" ht="18" hidden="false" customHeight="true" outlineLevel="0" collapsed="false">
      <c r="A2" s="56" t="s">
        <v>87</v>
      </c>
      <c r="B2" s="56"/>
    </row>
    <row r="3" customFormat="false" ht="18" hidden="false" customHeight="true" outlineLevel="0" collapsed="false">
      <c r="B3" s="57" t="s">
        <v>88</v>
      </c>
    </row>
    <row r="4" customFormat="false" ht="18" hidden="false" customHeight="true" outlineLevel="0" collapsed="false">
      <c r="B4" s="57" t="s">
        <v>89</v>
      </c>
    </row>
    <row r="5" customFormat="false" ht="18" hidden="false" customHeight="true" outlineLevel="0" collapsed="false">
      <c r="B5" s="57" t="s">
        <v>90</v>
      </c>
    </row>
    <row r="6" customFormat="false" ht="18" hidden="false" customHeight="true" outlineLevel="0" collapsed="false">
      <c r="B6" s="57" t="s">
        <v>91</v>
      </c>
    </row>
    <row r="7" customFormat="false" ht="18" hidden="false" customHeight="true" outlineLevel="0" collapsed="false"/>
    <row r="8" customFormat="false" ht="18" hidden="false" customHeight="true" outlineLevel="0" collapsed="false">
      <c r="A8" s="56" t="s">
        <v>92</v>
      </c>
      <c r="B8" s="56"/>
    </row>
    <row r="9" customFormat="false" ht="18" hidden="false" customHeight="true" outlineLevel="0" collapsed="false">
      <c r="B9" s="57" t="s">
        <v>93</v>
      </c>
    </row>
    <row r="10" customFormat="false" ht="18" hidden="false" customHeight="true" outlineLevel="0" collapsed="false">
      <c r="B10" s="57" t="s">
        <v>94</v>
      </c>
    </row>
    <row r="11" customFormat="false" ht="18" hidden="false" customHeight="true" outlineLevel="0" collapsed="false">
      <c r="B11" s="57" t="s">
        <v>95</v>
      </c>
    </row>
    <row r="12" customFormat="false" ht="18" hidden="false" customHeight="true" outlineLevel="0" collapsed="false">
      <c r="B12" s="57" t="s">
        <v>96</v>
      </c>
    </row>
    <row r="13" customFormat="false" ht="18" hidden="false" customHeight="true" outlineLevel="0" collapsed="false">
      <c r="B13" s="57" t="s">
        <v>97</v>
      </c>
    </row>
    <row r="14" customFormat="false" ht="18" hidden="false" customHeight="true" outlineLevel="0" collapsed="false"/>
    <row r="15" customFormat="false" ht="18" hidden="false" customHeight="true" outlineLevel="0" collapsed="false">
      <c r="A15" s="56" t="s">
        <v>98</v>
      </c>
      <c r="B15" s="56"/>
    </row>
    <row r="16" customFormat="false" ht="18" hidden="false" customHeight="true" outlineLevel="0" collapsed="false">
      <c r="B16" s="57" t="s">
        <v>99</v>
      </c>
    </row>
    <row r="17" customFormat="false" ht="18" hidden="false" customHeight="true" outlineLevel="0" collapsed="false">
      <c r="B17" s="57" t="s">
        <v>100</v>
      </c>
    </row>
    <row r="18" customFormat="false" ht="18" hidden="false" customHeight="true" outlineLevel="0" collapsed="false"/>
    <row r="19" customFormat="false" ht="18" hidden="false" customHeight="true" outlineLevel="0" collapsed="false">
      <c r="A19" s="56" t="s">
        <v>101</v>
      </c>
      <c r="B19" s="56"/>
    </row>
    <row r="20" customFormat="false" ht="18" hidden="false" customHeight="true" outlineLevel="0" collapsed="false">
      <c r="B20" s="57" t="s">
        <v>102</v>
      </c>
    </row>
    <row r="21" customFormat="false" ht="18" hidden="false" customHeight="true" outlineLevel="0" collapsed="false">
      <c r="B21" s="57" t="s">
        <v>103</v>
      </c>
    </row>
    <row r="22" customFormat="false" ht="18" hidden="false" customHeight="true" outlineLevel="0" collapsed="false">
      <c r="B22" s="57" t="s">
        <v>104</v>
      </c>
    </row>
    <row r="23" customFormat="false" ht="18" hidden="false" customHeight="true" outlineLevel="0" collapsed="false"/>
    <row r="24" customFormat="false" ht="18" hidden="false" customHeight="true" outlineLevel="0" collapsed="false">
      <c r="A24" s="56" t="s">
        <v>105</v>
      </c>
      <c r="B24" s="56"/>
    </row>
    <row r="25" customFormat="false" ht="18" hidden="false" customHeight="true" outlineLevel="0" collapsed="false">
      <c r="B25" s="57" t="s">
        <v>106</v>
      </c>
    </row>
    <row r="26" customFormat="false" ht="18" hidden="false" customHeight="true" outlineLevel="0" collapsed="false">
      <c r="B26" s="57" t="s">
        <v>107</v>
      </c>
    </row>
  </sheetData>
  <mergeCells count="6">
    <mergeCell ref="A1:B1"/>
    <mergeCell ref="A2:B2"/>
    <mergeCell ref="A8:B8"/>
    <mergeCell ref="A15:B15"/>
    <mergeCell ref="A19:B19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2026-06-06T01:37:36Z</dcterms:created>
  <dc:creator>openpyxl</dc:creator>
  <dc:description/>
  <dc:language>en-US</dc:language>
  <cp:lastModifiedBy/>
  <dcterms:modified xsi:type="dcterms:W3CDTF">2026-06-06T01:37:36Z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